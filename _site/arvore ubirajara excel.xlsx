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ano\Desktop\GIULIANO\TMM7F\Site 7 Flechas\"/>
    </mc:Choice>
  </mc:AlternateContent>
  <xr:revisionPtr revIDLastSave="0" documentId="13_ncr:1_{63AF98BF-AC0F-4E47-B5DA-CA5ABDB02B4B}" xr6:coauthVersionLast="47" xr6:coauthVersionMax="47" xr10:uidLastSave="{00000000-0000-0000-0000-000000000000}"/>
  <bookViews>
    <workbookView xWindow="-98" yWindow="-98" windowWidth="21795" windowHeight="12975" xr2:uid="{D309482B-52D6-43E6-90E2-137FAEE2C2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E18" i="1"/>
  <c r="A18" i="1"/>
  <c r="A3" i="1"/>
  <c r="C3" i="1" s="1"/>
  <c r="A4" i="1" l="1"/>
  <c r="C4" i="1" s="1"/>
  <c r="A7" i="1"/>
  <c r="C7" i="1" s="1"/>
  <c r="A8" i="1" s="1"/>
  <c r="C8" i="1" s="1"/>
  <c r="A12" i="1"/>
  <c r="C12" i="1" s="1"/>
  <c r="A9" i="1"/>
  <c r="C9" i="1" s="1"/>
  <c r="A11" i="1"/>
  <c r="C11" i="1" s="1"/>
  <c r="A10" i="1"/>
  <c r="C10" i="1" s="1"/>
  <c r="A13" i="1"/>
  <c r="C13" i="1" s="1"/>
  <c r="A16" i="1" s="1"/>
  <c r="C16" i="1" s="1"/>
  <c r="E3" i="1"/>
  <c r="A5" i="1"/>
  <c r="C5" i="1" s="1"/>
  <c r="E8" i="1" s="1"/>
  <c r="A6" i="1"/>
  <c r="C6" i="1" s="1"/>
  <c r="E6" i="1"/>
  <c r="E4" i="1"/>
  <c r="E7" i="1"/>
  <c r="E9" i="1"/>
  <c r="E10" i="1"/>
  <c r="E11" i="1"/>
  <c r="E12" i="1"/>
  <c r="E17" i="1" l="1"/>
  <c r="E16" i="1"/>
  <c r="E15" i="1"/>
  <c r="E14" i="1"/>
  <c r="A17" i="1"/>
  <c r="C17" i="1" s="1"/>
  <c r="A15" i="1"/>
  <c r="A14" i="1"/>
  <c r="E13" i="1"/>
  <c r="E5" i="1"/>
  <c r="C14" i="1" l="1"/>
  <c r="C15" i="1"/>
</calcChain>
</file>

<file path=xl/sharedStrings.xml><?xml version="1.0" encoding="utf-8"?>
<sst xmlns="http://schemas.openxmlformats.org/spreadsheetml/2006/main" count="139" uniqueCount="88">
  <si>
    <t>estado</t>
  </si>
  <si>
    <t>cidade</t>
  </si>
  <si>
    <t>Brasil</t>
  </si>
  <si>
    <t>RS</t>
  </si>
  <si>
    <t>Porto Alegre</t>
  </si>
  <si>
    <t>Astrogildo de Oliveira</t>
  </si>
  <si>
    <t>CABOCLO UBIRAJARA DA RAINHA IEMANJA E CABOCLO ARAGUAÇÚ E PRETO VELHO PAI BELARMINO</t>
  </si>
  <si>
    <t>TEMPLO ESPÍRITA DE UMBANDA RAINHA IEMANJA FRATERNIDADE UBIRAJARA</t>
  </si>
  <si>
    <t>TERREIRA DE MÃE MARIA</t>
  </si>
  <si>
    <t>TEMPLO DE UMB. PAI OXALÁ FRAT. CACIQUE SETE ONDAS</t>
  </si>
  <si>
    <t>Canoas</t>
  </si>
  <si>
    <t>Rua Fab, 155</t>
  </si>
  <si>
    <t>ALIPIO DUARTE</t>
  </si>
  <si>
    <t xml:space="preserve">LOURDES, NELSON G FERNANDES, VILSON BAIXAS DA SILVA, ROGÉRIO BARCELA </t>
  </si>
  <si>
    <t>CACIQUE SETE ONDAS E PAI SEBASTIÃO</t>
  </si>
  <si>
    <t>CABOCLO JUNCO VERDE E PAI MIGUEL</t>
  </si>
  <si>
    <t>CENTRO ESPIRITA PAI JOSE DE ARUANDA</t>
  </si>
  <si>
    <t>JOSÉ LIMA</t>
  </si>
  <si>
    <t>VICENTE; NELSON GOMES FERNANDES; VALNEI F. OLIVEIRA; ALEX BUFFON</t>
  </si>
  <si>
    <t>PAI JOSÉ DE ARUANDA</t>
  </si>
  <si>
    <t>JORGE LOPES</t>
  </si>
  <si>
    <t>ADRIANO LOPES E ALEX LOPES</t>
  </si>
  <si>
    <t>PAI TOMÉ E XANGO DA PEDREIRA;</t>
  </si>
  <si>
    <t>URUBATAN; CABOCLO DO VENTO E PAI JERÔNIMO; OGUM IARA E PAI JOAQUIM DE ANGOLA</t>
  </si>
  <si>
    <t>OGUM BEIRA MAR E PAI MIGUEL</t>
  </si>
  <si>
    <t>GENÁRIO JOSÉ DA SILVA e  DARCY DIAS DA SILVEIRA</t>
  </si>
  <si>
    <t>TREME TERRA E PAI BENTO; JUREMA E MARIA CONGA; OGUM IARA E MARIA CONGA.</t>
  </si>
  <si>
    <t>ALINE MORAES DA ROSA; ALINE GARCIA DA SILVEIRA</t>
  </si>
  <si>
    <t xml:space="preserve">OGUM COROADO E PAI JOÃO; OGUM SETE ESPADAS E PAI LESBÃO; CABOCLA JUREMA; </t>
  </si>
  <si>
    <t>CENTRO ESPÍRITA DE UMB. PAI TOMÉ E XANGO FRAT PAI JOSÉ DE ARUANDA</t>
  </si>
  <si>
    <t>CENTRO DE UMB OGUM IARA E PAI JOAQUIM FRAT PAI JOSÉ DE ARUANDA</t>
  </si>
  <si>
    <t>Triunfo</t>
  </si>
  <si>
    <t>VALNEI FERREIRA DE OLIVEIRA</t>
  </si>
  <si>
    <t>OGUM IARA E PAI JOAQUIM DE ANGOLA</t>
  </si>
  <si>
    <t>Encerramento</t>
  </si>
  <si>
    <t>TEMPLO DE UMB. PAI OXALÁ FRAT. OGUM DE RONDA</t>
  </si>
  <si>
    <t>ALCY PEREIRA</t>
  </si>
  <si>
    <t>OGUM BEIRA MAR E PAI JORGE</t>
  </si>
  <si>
    <t>IONE WOLOSKI DORNELES</t>
  </si>
  <si>
    <t>OGUM DE RONDA, TIO ANTONIO; IARA FLECHEIRA</t>
  </si>
  <si>
    <t>ASSOCIAÇÃO TERREIRO DE PAI OXALÁ FRATERNIDADE VOVÓ JULIA</t>
  </si>
  <si>
    <t>VALÉRIA TERESINHA FARIAS</t>
  </si>
  <si>
    <t>VOVÓ JULIA E CABOCLA IARA</t>
  </si>
  <si>
    <t>ASSOCIAÇÃO DE UMB PAI OXALÁ FRAT. PAI XANGÔ</t>
  </si>
  <si>
    <t>JÚLIO CEZAR PUGLIESSI PICOLOTTO</t>
  </si>
  <si>
    <t>XANGÔ DAS CACHOEIRAS E PAI BERNARDINO</t>
  </si>
  <si>
    <t>CENTRO ESP DE UMB PAI JOÃO DE ARUANDA E CABOCLO SETE FLECHAS</t>
  </si>
  <si>
    <t>CLEBER ROGÉRIO RODRIGUES</t>
  </si>
  <si>
    <t>PAI JOÃO DE ARUANDA, CABOCLO SETE FLECHAS</t>
  </si>
  <si>
    <t>MISSIONÁRIAS UMBANDISTAS DE CANOAS</t>
  </si>
  <si>
    <t>OSMIRA GOMES C. DE OLIVEIRA</t>
  </si>
  <si>
    <t>ARRANCA TOCO E MARIA CONGA</t>
  </si>
  <si>
    <t>ARRANCA TOCO E MÃE MARIA DE MINA.</t>
  </si>
  <si>
    <t>IARA IRACI DE OLIVEIRA</t>
  </si>
  <si>
    <t>TEMPLO DE UMB TIO ANTONIO E CABOCLA IARA FLECHEIRA FRAT OGUM DE RONDA</t>
  </si>
  <si>
    <t>TERREIRA DE MAE MARIA   FRAT CACIQUE UBIRAJARA</t>
  </si>
  <si>
    <t>VICTOR CÂNDIDO DA SILVEIRA</t>
  </si>
  <si>
    <t>UBIRAJARA E PAI JUCA</t>
  </si>
  <si>
    <t>CABOCLO ARARI E VOVÓ FAUSTINA; OXUM E MARIA FILISBINA</t>
  </si>
  <si>
    <t>DELLY GUILLARDE DE SOUZA; MARIA PARECIDA DOS SANTOS</t>
  </si>
  <si>
    <t>SOCIEDADE ESP DE UMB TER DE MÃE MARIA FRAT CABOCLA JUREMA</t>
  </si>
  <si>
    <t>CENIRA DE SOUZA SILVA</t>
  </si>
  <si>
    <t xml:space="preserve">ROGÉRIO BARCELA; BARUFFE </t>
  </si>
  <si>
    <t>CABOCLA JUREMA E MARIA CONGA</t>
  </si>
  <si>
    <t>TER. DE UMB OGUM BEIRA-MAR FRAT TERREIRA MÃE MARIA</t>
  </si>
  <si>
    <t xml:space="preserve">ALADIR MIGUEL MAZIM MARQUES </t>
  </si>
  <si>
    <t>OGUM BEIRA MAR E PAI JOAQIUM</t>
  </si>
  <si>
    <t>TER. DE MÃE MARIA FRAT CABOCLO SETE FLECHAS</t>
  </si>
  <si>
    <t>GIULIANO CURTINAZ</t>
  </si>
  <si>
    <t>CABOCLO SETE FLECHAS E NEGO JUCA</t>
  </si>
  <si>
    <t>www.maemariaseteflechas.com.br</t>
  </si>
  <si>
    <t xml:space="preserve">TER. CABOCLA JUREMA FRAT.  OGUM E IANSÃ   </t>
  </si>
  <si>
    <t>SUELY PLEIN</t>
  </si>
  <si>
    <t>OGUM, IANSÂ E NEGA MINA</t>
  </si>
  <si>
    <t>Rua Fab, 155 Canoas/RS</t>
  </si>
  <si>
    <t>ALCIMAR PEREIRA; Camila Barrios Quadri</t>
  </si>
  <si>
    <t>OGUM IARA E CONGO DE CARANGOLA.Cabocla Iara e Preta Velha Maria Macambira</t>
  </si>
  <si>
    <t>pais</t>
  </si>
  <si>
    <t>dirigente_material_fundador</t>
  </si>
  <si>
    <t>dirigente_espiritual_fundador</t>
  </si>
  <si>
    <t>Sucessores_espirituais</t>
  </si>
  <si>
    <t>Sucessores_materiais</t>
  </si>
  <si>
    <t>endereco_original</t>
  </si>
  <si>
    <t>endereco_atual</t>
  </si>
  <si>
    <t>dados_de_contato</t>
  </si>
  <si>
    <t>sucessores_espirituais</t>
  </si>
  <si>
    <t>sucessores_materiais</t>
  </si>
  <si>
    <t>encerramento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</si>
</sst>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emariaseteflech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2858-1F6F-4EB4-BA61-6B73CA6D93AD}">
  <dimension ref="A1:R18"/>
  <sheetViews>
    <sheetView tabSelected="1" zoomScale="145" zoomScaleNormal="145" workbookViewId="0">
      <pane xSplit="4" ySplit="1" topLeftCell="Q2" activePane="bottomRight" state="frozen"/>
      <selection pane="topRight" activeCell="C1" sqref="C1"/>
      <selection pane="bottomLeft" activeCell="A2" sqref="A2"/>
      <selection pane="bottomRight" activeCell="R1" sqref="R1"/>
    </sheetView>
  </sheetViews>
  <sheetFormatPr defaultRowHeight="14.25" x14ac:dyDescent="0.45"/>
  <cols>
    <col min="1" max="1" width="6.73046875" customWidth="1"/>
    <col min="2" max="2" width="8.3984375" customWidth="1"/>
    <col min="3" max="3" width="8.9296875" customWidth="1"/>
    <col min="4" max="4" width="55.1328125" customWidth="1"/>
    <col min="5" max="5" width="50.86328125" customWidth="1"/>
    <col min="6" max="6" width="13.3984375" bestFit="1" customWidth="1"/>
    <col min="7" max="7" width="14" bestFit="1" customWidth="1"/>
    <col min="8" max="8" width="4.86328125" bestFit="1" customWidth="1"/>
    <col min="9" max="10" width="7" bestFit="1" customWidth="1"/>
    <col min="11" max="11" width="25.73046875" bestFit="1" customWidth="1"/>
    <col min="12" max="12" width="26.73046875" bestFit="1" customWidth="1"/>
    <col min="13" max="14" width="26.73046875" customWidth="1"/>
    <col min="15" max="15" width="20.3984375" customWidth="1"/>
    <col min="16" max="16" width="16.59765625" bestFit="1" customWidth="1"/>
    <col min="17" max="17" width="14.265625" bestFit="1" customWidth="1"/>
    <col min="18" max="18" width="20.3984375" customWidth="1"/>
  </cols>
  <sheetData>
    <row r="1" spans="1:18" x14ac:dyDescent="0.45">
      <c r="A1" t="s">
        <v>0</v>
      </c>
      <c r="B1" t="s">
        <v>1</v>
      </c>
      <c r="C1" t="s">
        <v>78</v>
      </c>
      <c r="D1" t="s">
        <v>79</v>
      </c>
      <c r="E1" t="s">
        <v>85</v>
      </c>
      <c r="F1" t="s">
        <v>86</v>
      </c>
      <c r="G1" t="s">
        <v>87</v>
      </c>
      <c r="H1" t="s">
        <v>77</v>
      </c>
      <c r="I1" t="s">
        <v>0</v>
      </c>
      <c r="J1" t="s">
        <v>1</v>
      </c>
      <c r="K1" t="s">
        <v>78</v>
      </c>
      <c r="L1" t="s">
        <v>79</v>
      </c>
      <c r="M1" t="s">
        <v>80</v>
      </c>
      <c r="N1" t="s">
        <v>81</v>
      </c>
      <c r="O1" t="s">
        <v>34</v>
      </c>
      <c r="P1" t="s">
        <v>82</v>
      </c>
      <c r="Q1" t="s">
        <v>83</v>
      </c>
      <c r="R1" t="s">
        <v>84</v>
      </c>
    </row>
    <row r="2" spans="1:18" x14ac:dyDescent="0.45">
      <c r="C2">
        <v>1</v>
      </c>
      <c r="D2" t="s">
        <v>7</v>
      </c>
      <c r="F2">
        <v>1937</v>
      </c>
      <c r="H2" t="s">
        <v>2</v>
      </c>
      <c r="I2" t="s">
        <v>3</v>
      </c>
      <c r="J2" t="s">
        <v>4</v>
      </c>
      <c r="K2" t="s">
        <v>5</v>
      </c>
      <c r="L2" t="s">
        <v>6</v>
      </c>
    </row>
    <row r="3" spans="1:18" x14ac:dyDescent="0.45">
      <c r="A3" s="2">
        <f>C2</f>
        <v>1</v>
      </c>
      <c r="B3" s="3">
        <v>1</v>
      </c>
      <c r="C3" t="str">
        <f t="shared" ref="C3:C18" si="0">A3&amp;"."&amp;B3</f>
        <v>1.1</v>
      </c>
      <c r="D3" t="s">
        <v>9</v>
      </c>
      <c r="E3" t="str">
        <f t="shared" ref="E3:E13" si="1">VLOOKUP(A3,C:D,2,FALSE)</f>
        <v>TEMPLO ESPÍRITA DE UMBANDA RAINHA IEMANJA FRATERNIDADE UBIRAJARA</v>
      </c>
      <c r="F3">
        <v>1955</v>
      </c>
      <c r="H3" t="s">
        <v>2</v>
      </c>
      <c r="I3" t="s">
        <v>3</v>
      </c>
      <c r="J3" t="s">
        <v>10</v>
      </c>
      <c r="K3" t="s">
        <v>12</v>
      </c>
      <c r="L3" t="s">
        <v>14</v>
      </c>
      <c r="M3" t="s">
        <v>15</v>
      </c>
      <c r="N3" t="s">
        <v>13</v>
      </c>
    </row>
    <row r="4" spans="1:18" x14ac:dyDescent="0.45">
      <c r="A4" s="3" t="str">
        <f>C3</f>
        <v>1.1</v>
      </c>
      <c r="B4">
        <v>2</v>
      </c>
      <c r="C4" t="str">
        <f t="shared" si="0"/>
        <v>1.1.2</v>
      </c>
      <c r="D4" t="s">
        <v>16</v>
      </c>
      <c r="E4" t="str">
        <f t="shared" si="1"/>
        <v>TEMPLO DE UMB. PAI OXALÁ FRAT. CACIQUE SETE ONDAS</v>
      </c>
      <c r="F4">
        <v>1955</v>
      </c>
      <c r="G4" s="1">
        <v>20447</v>
      </c>
      <c r="H4" t="s">
        <v>2</v>
      </c>
      <c r="I4" t="s">
        <v>3</v>
      </c>
      <c r="J4" t="s">
        <v>10</v>
      </c>
      <c r="K4" t="s">
        <v>17</v>
      </c>
      <c r="L4" t="s">
        <v>19</v>
      </c>
      <c r="M4" t="s">
        <v>23</v>
      </c>
      <c r="N4" t="s">
        <v>18</v>
      </c>
    </row>
    <row r="5" spans="1:18" x14ac:dyDescent="0.45">
      <c r="A5" t="str">
        <f>C4</f>
        <v>1.1.2</v>
      </c>
      <c r="B5">
        <v>1</v>
      </c>
      <c r="C5" t="str">
        <f t="shared" si="0"/>
        <v>1.1.2.1</v>
      </c>
      <c r="D5" t="s">
        <v>29</v>
      </c>
      <c r="E5" t="str">
        <f t="shared" si="1"/>
        <v>CENTRO ESPIRITA PAI JOSE DE ARUANDA</v>
      </c>
      <c r="F5">
        <v>1995</v>
      </c>
      <c r="G5" s="1">
        <v>34827</v>
      </c>
      <c r="H5" t="s">
        <v>2</v>
      </c>
      <c r="I5" t="s">
        <v>3</v>
      </c>
      <c r="J5" t="s">
        <v>10</v>
      </c>
      <c r="K5" t="s">
        <v>20</v>
      </c>
      <c r="L5" t="s">
        <v>22</v>
      </c>
      <c r="M5" t="s">
        <v>28</v>
      </c>
      <c r="N5" t="s">
        <v>21</v>
      </c>
    </row>
    <row r="6" spans="1:18" x14ac:dyDescent="0.45">
      <c r="A6" t="str">
        <f>C4</f>
        <v>1.1.2</v>
      </c>
      <c r="B6">
        <v>2</v>
      </c>
      <c r="C6" t="str">
        <f t="shared" si="0"/>
        <v>1.1.2.2</v>
      </c>
      <c r="D6" t="s">
        <v>30</v>
      </c>
      <c r="E6" t="str">
        <f t="shared" si="1"/>
        <v>CENTRO ESPIRITA PAI JOSE DE ARUANDA</v>
      </c>
      <c r="F6">
        <v>1997</v>
      </c>
      <c r="G6" s="1">
        <v>35707</v>
      </c>
      <c r="H6" t="s">
        <v>2</v>
      </c>
      <c r="I6" t="s">
        <v>3</v>
      </c>
      <c r="J6" t="s">
        <v>31</v>
      </c>
      <c r="K6" t="s">
        <v>32</v>
      </c>
      <c r="L6" t="s">
        <v>33</v>
      </c>
      <c r="O6">
        <v>2023</v>
      </c>
    </row>
    <row r="7" spans="1:18" x14ac:dyDescent="0.45">
      <c r="A7" t="str">
        <f>C3</f>
        <v>1.1</v>
      </c>
      <c r="B7">
        <v>3</v>
      </c>
      <c r="C7" t="str">
        <f t="shared" si="0"/>
        <v>1.1.3</v>
      </c>
      <c r="D7" t="s">
        <v>35</v>
      </c>
      <c r="E7" t="str">
        <f t="shared" si="1"/>
        <v>TEMPLO DE UMB. PAI OXALÁ FRAT. CACIQUE SETE ONDAS</v>
      </c>
      <c r="F7">
        <v>1966</v>
      </c>
      <c r="H7" t="s">
        <v>2</v>
      </c>
      <c r="I7" t="s">
        <v>3</v>
      </c>
      <c r="J7" t="s">
        <v>10</v>
      </c>
      <c r="K7" t="s">
        <v>36</v>
      </c>
      <c r="L7" t="s">
        <v>37</v>
      </c>
      <c r="M7" t="s">
        <v>76</v>
      </c>
      <c r="N7" t="s">
        <v>75</v>
      </c>
    </row>
    <row r="8" spans="1:18" x14ac:dyDescent="0.45">
      <c r="A8" t="str">
        <f>C7</f>
        <v>1.1.3</v>
      </c>
      <c r="B8">
        <v>1</v>
      </c>
      <c r="C8" t="str">
        <f t="shared" si="0"/>
        <v>1.1.3.1</v>
      </c>
      <c r="D8" t="s">
        <v>54</v>
      </c>
      <c r="E8" t="str">
        <f t="shared" si="1"/>
        <v>TEMPLO DE UMB. PAI OXALÁ FRAT. OGUM DE RONDA</v>
      </c>
      <c r="F8">
        <v>1999</v>
      </c>
      <c r="H8" t="s">
        <v>2</v>
      </c>
      <c r="I8" t="s">
        <v>3</v>
      </c>
      <c r="J8" t="s">
        <v>10</v>
      </c>
      <c r="K8" t="s">
        <v>38</v>
      </c>
      <c r="L8" t="s">
        <v>39</v>
      </c>
    </row>
    <row r="9" spans="1:18" x14ac:dyDescent="0.45">
      <c r="A9" t="str">
        <f>C3</f>
        <v>1.1</v>
      </c>
      <c r="B9">
        <v>5</v>
      </c>
      <c r="C9" t="str">
        <f t="shared" si="0"/>
        <v>1.1.5</v>
      </c>
      <c r="D9" t="s">
        <v>40</v>
      </c>
      <c r="E9" t="str">
        <f t="shared" si="1"/>
        <v>TEMPLO DE UMB. PAI OXALÁ FRAT. CACIQUE SETE ONDAS</v>
      </c>
      <c r="F9">
        <v>2017</v>
      </c>
      <c r="H9" t="s">
        <v>2</v>
      </c>
      <c r="I9" t="s">
        <v>3</v>
      </c>
      <c r="J9" t="s">
        <v>10</v>
      </c>
      <c r="K9" t="s">
        <v>41</v>
      </c>
      <c r="L9" t="s">
        <v>42</v>
      </c>
    </row>
    <row r="10" spans="1:18" x14ac:dyDescent="0.45">
      <c r="A10" t="str">
        <f>C3</f>
        <v>1.1</v>
      </c>
      <c r="B10">
        <v>5</v>
      </c>
      <c r="C10" t="str">
        <f t="shared" si="0"/>
        <v>1.1.5</v>
      </c>
      <c r="D10" t="s">
        <v>43</v>
      </c>
      <c r="E10" t="str">
        <f t="shared" si="1"/>
        <v>TEMPLO DE UMB. PAI OXALÁ FRAT. CACIQUE SETE ONDAS</v>
      </c>
      <c r="F10">
        <v>2014</v>
      </c>
      <c r="H10" t="s">
        <v>2</v>
      </c>
      <c r="I10" t="s">
        <v>3</v>
      </c>
      <c r="J10" t="s">
        <v>10</v>
      </c>
      <c r="K10" t="s">
        <v>44</v>
      </c>
      <c r="L10" t="s">
        <v>45</v>
      </c>
    </row>
    <row r="11" spans="1:18" x14ac:dyDescent="0.45">
      <c r="A11" t="str">
        <f>C3</f>
        <v>1.1</v>
      </c>
      <c r="B11">
        <v>6</v>
      </c>
      <c r="C11" t="str">
        <f t="shared" si="0"/>
        <v>1.1.6</v>
      </c>
      <c r="D11" t="s">
        <v>46</v>
      </c>
      <c r="E11" t="str">
        <f t="shared" si="1"/>
        <v>TEMPLO DE UMB. PAI OXALÁ FRAT. CACIQUE SETE ONDAS</v>
      </c>
      <c r="F11">
        <v>2020</v>
      </c>
      <c r="H11" t="s">
        <v>2</v>
      </c>
      <c r="I11" t="s">
        <v>3</v>
      </c>
      <c r="J11" t="s">
        <v>10</v>
      </c>
      <c r="K11" t="s">
        <v>47</v>
      </c>
      <c r="L11" t="s">
        <v>48</v>
      </c>
    </row>
    <row r="12" spans="1:18" x14ac:dyDescent="0.45">
      <c r="A12" t="str">
        <f>C3</f>
        <v>1.1</v>
      </c>
      <c r="B12">
        <v>7</v>
      </c>
      <c r="C12" t="str">
        <f t="shared" si="0"/>
        <v>1.1.7</v>
      </c>
      <c r="D12" t="s">
        <v>49</v>
      </c>
      <c r="E12" t="str">
        <f t="shared" si="1"/>
        <v>TEMPLO DE UMB. PAI OXALÁ FRAT. CACIQUE SETE ONDAS</v>
      </c>
      <c r="F12">
        <v>1960</v>
      </c>
      <c r="H12" t="s">
        <v>2</v>
      </c>
      <c r="I12" t="s">
        <v>3</v>
      </c>
      <c r="J12" t="s">
        <v>10</v>
      </c>
      <c r="K12" t="s">
        <v>50</v>
      </c>
      <c r="L12" t="s">
        <v>51</v>
      </c>
      <c r="M12" t="s">
        <v>52</v>
      </c>
      <c r="N12" t="s">
        <v>53</v>
      </c>
    </row>
    <row r="13" spans="1:18" x14ac:dyDescent="0.45">
      <c r="A13" s="3" t="str">
        <f>C3</f>
        <v>1.1</v>
      </c>
      <c r="B13">
        <v>4</v>
      </c>
      <c r="C13" t="str">
        <f t="shared" si="0"/>
        <v>1.1.4</v>
      </c>
      <c r="D13" t="s">
        <v>8</v>
      </c>
      <c r="E13" t="str">
        <f t="shared" si="1"/>
        <v>TEMPLO DE UMB. PAI OXALÁ FRAT. CACIQUE SETE ONDAS</v>
      </c>
      <c r="F13">
        <v>1955</v>
      </c>
      <c r="G13" s="1">
        <v>20404</v>
      </c>
      <c r="H13" t="s">
        <v>2</v>
      </c>
      <c r="I13" t="s">
        <v>3</v>
      </c>
      <c r="J13" t="s">
        <v>10</v>
      </c>
      <c r="K13" t="s">
        <v>25</v>
      </c>
      <c r="L13" t="s">
        <v>24</v>
      </c>
      <c r="M13" t="s">
        <v>26</v>
      </c>
      <c r="N13" t="s">
        <v>27</v>
      </c>
      <c r="P13" t="s">
        <v>11</v>
      </c>
      <c r="Q13" t="s">
        <v>11</v>
      </c>
    </row>
    <row r="14" spans="1:18" x14ac:dyDescent="0.45">
      <c r="A14" t="str">
        <f>C13</f>
        <v>1.1.4</v>
      </c>
      <c r="B14">
        <v>1</v>
      </c>
      <c r="C14" t="str">
        <f t="shared" si="0"/>
        <v>1.1.4.1</v>
      </c>
      <c r="D14" t="s">
        <v>55</v>
      </c>
      <c r="E14" t="str">
        <f t="shared" ref="E14:E18" si="2">VLOOKUP(A14,C:D,2,FALSE)</f>
        <v>TERREIRA DE MÃE MARIA</v>
      </c>
      <c r="F14">
        <v>1963</v>
      </c>
      <c r="G14" s="1">
        <v>23326</v>
      </c>
      <c r="H14" t="s">
        <v>2</v>
      </c>
      <c r="I14" t="s">
        <v>3</v>
      </c>
      <c r="J14" t="s">
        <v>10</v>
      </c>
      <c r="K14" t="s">
        <v>56</v>
      </c>
      <c r="L14" t="s">
        <v>57</v>
      </c>
      <c r="M14" t="s">
        <v>58</v>
      </c>
      <c r="N14" t="s">
        <v>59</v>
      </c>
    </row>
    <row r="15" spans="1:18" x14ac:dyDescent="0.45">
      <c r="A15" t="str">
        <f>C13</f>
        <v>1.1.4</v>
      </c>
      <c r="B15">
        <v>2</v>
      </c>
      <c r="C15" t="str">
        <f t="shared" si="0"/>
        <v>1.1.4.2</v>
      </c>
      <c r="D15" t="s">
        <v>60</v>
      </c>
      <c r="E15" t="str">
        <f t="shared" si="2"/>
        <v>TERREIRA DE MÃE MARIA</v>
      </c>
      <c r="F15">
        <v>1957</v>
      </c>
      <c r="H15" t="s">
        <v>2</v>
      </c>
      <c r="I15" t="s">
        <v>3</v>
      </c>
      <c r="J15" t="s">
        <v>10</v>
      </c>
      <c r="K15" t="s">
        <v>61</v>
      </c>
      <c r="L15" t="s">
        <v>63</v>
      </c>
      <c r="N15" t="s">
        <v>62</v>
      </c>
      <c r="O15">
        <v>2006</v>
      </c>
    </row>
    <row r="16" spans="1:18" x14ac:dyDescent="0.45">
      <c r="A16" t="str">
        <f>C13</f>
        <v>1.1.4</v>
      </c>
      <c r="B16">
        <v>3</v>
      </c>
      <c r="C16" t="str">
        <f t="shared" si="0"/>
        <v>1.1.4.3</v>
      </c>
      <c r="D16" t="s">
        <v>64</v>
      </c>
      <c r="E16" t="str">
        <f t="shared" si="2"/>
        <v>TERREIRA DE MÃE MARIA</v>
      </c>
      <c r="F16">
        <v>2013</v>
      </c>
      <c r="H16" t="s">
        <v>2</v>
      </c>
      <c r="I16" t="s">
        <v>3</v>
      </c>
      <c r="J16" t="s">
        <v>10</v>
      </c>
      <c r="K16" t="s">
        <v>65</v>
      </c>
      <c r="L16" t="s">
        <v>66</v>
      </c>
    </row>
    <row r="17" spans="1:18" x14ac:dyDescent="0.45">
      <c r="A17" t="str">
        <f>C13</f>
        <v>1.1.4</v>
      </c>
      <c r="B17">
        <v>4</v>
      </c>
      <c r="C17" t="str">
        <f t="shared" si="0"/>
        <v>1.1.4.4</v>
      </c>
      <c r="D17" t="s">
        <v>67</v>
      </c>
      <c r="E17" t="str">
        <f t="shared" si="2"/>
        <v>TERREIRA DE MÃE MARIA</v>
      </c>
      <c r="F17">
        <v>2019</v>
      </c>
      <c r="H17" t="s">
        <v>2</v>
      </c>
      <c r="I17" t="s">
        <v>3</v>
      </c>
      <c r="J17" t="s">
        <v>10</v>
      </c>
      <c r="K17" t="s">
        <v>68</v>
      </c>
      <c r="L17" t="s">
        <v>69</v>
      </c>
      <c r="Q17" t="s">
        <v>74</v>
      </c>
      <c r="R17" s="4" t="s">
        <v>70</v>
      </c>
    </row>
    <row r="18" spans="1:18" x14ac:dyDescent="0.45">
      <c r="A18" t="str">
        <f>C15</f>
        <v>1.1.4.2</v>
      </c>
      <c r="B18">
        <v>1</v>
      </c>
      <c r="C18" t="str">
        <f t="shared" si="0"/>
        <v>1.1.4.2.1</v>
      </c>
      <c r="D18" t="s">
        <v>71</v>
      </c>
      <c r="E18" t="str">
        <f t="shared" si="2"/>
        <v>SOCIEDADE ESP DE UMB TER DE MÃE MARIA FRAT CABOCLA JUREMA</v>
      </c>
      <c r="F18">
        <v>2004</v>
      </c>
      <c r="H18" t="s">
        <v>2</v>
      </c>
      <c r="I18" t="s">
        <v>3</v>
      </c>
      <c r="J18" t="s">
        <v>10</v>
      </c>
      <c r="K18" t="s">
        <v>72</v>
      </c>
      <c r="L18" t="s">
        <v>73</v>
      </c>
    </row>
  </sheetData>
  <hyperlinks>
    <hyperlink ref="R17" r:id="rId1" xr:uid="{9656ABE4-0424-4376-B2AE-A688276B193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 Curtinaz</dc:creator>
  <cp:lastModifiedBy>Giuliano Curtinaz</cp:lastModifiedBy>
  <dcterms:created xsi:type="dcterms:W3CDTF">2025-08-15T12:55:39Z</dcterms:created>
  <dcterms:modified xsi:type="dcterms:W3CDTF">2026-03-04T13:10:28Z</dcterms:modified>
</cp:coreProperties>
</file>